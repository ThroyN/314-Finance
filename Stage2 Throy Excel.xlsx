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UHManoa/Documents/GitHub/314-Finance/"/>
    </mc:Choice>
  </mc:AlternateContent>
  <xr:revisionPtr revIDLastSave="0" documentId="8_{15B54B0A-9247-0549-8AE7-CDC99DB7635D}" xr6:coauthVersionLast="47" xr6:coauthVersionMax="47" xr10:uidLastSave="{00000000-0000-0000-0000-000000000000}"/>
  <bookViews>
    <workbookView xWindow="-20" yWindow="680" windowWidth="17300" windowHeight="20400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6" i="3"/>
  <c r="B18" i="3"/>
  <c r="B12" i="3"/>
  <c r="B11" i="3"/>
  <c r="G17" i="1"/>
  <c r="B13" i="2"/>
  <c r="C16" i="2"/>
  <c r="C15" i="2"/>
  <c r="C13" i="2"/>
  <c r="C12" i="2"/>
  <c r="C10" i="2"/>
  <c r="C9" i="2"/>
  <c r="C8" i="2"/>
  <c r="B17" i="2"/>
  <c r="C17" i="2" s="1"/>
  <c r="B15" i="2"/>
  <c r="B16" i="2"/>
  <c r="C15" i="1"/>
  <c r="B10" i="2"/>
  <c r="C13" i="1"/>
  <c r="C6" i="2"/>
  <c r="C5" i="2"/>
  <c r="C4" i="2"/>
  <c r="C3" i="2"/>
  <c r="C2" i="2"/>
  <c r="B6" i="2"/>
  <c r="D8" i="1"/>
  <c r="D7" i="1"/>
  <c r="C8" i="1"/>
  <c r="G19" i="1"/>
  <c r="H17" i="1"/>
  <c r="H15" i="1"/>
  <c r="G15" i="1"/>
  <c r="H12" i="1" a="1"/>
  <c r="H12" i="1" s="1"/>
  <c r="H19" i="1" s="1"/>
  <c r="G12" i="1" a="1"/>
  <c r="G12" i="1" s="1"/>
  <c r="H7" i="1"/>
  <c r="H6" i="1"/>
  <c r="G7" i="1"/>
  <c r="G6" i="1"/>
  <c r="D19" i="1"/>
  <c r="C19" i="1"/>
  <c r="D15" i="1"/>
  <c r="D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<sst xmlns="http://schemas.openxmlformats.org/spreadsheetml/2006/main" count="260" uniqueCount="248">
  <si>
    <t>ASSETS</t>
  </si>
  <si>
    <t>LIABILITIES &amp; EQUITY</t>
  </si>
  <si>
    <t>Current Year</t>
  </si>
  <si>
    <t>Prior Year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</si>
  <si>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</si>
  <si>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</si>
  <si>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</si>
  <si>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</si>
  <si>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</si>
  <si>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</si>
  <si>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</si>
  <si>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</si>
  <si>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</si>
  <si>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</si>
  <si>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</si>
  <si>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</si>
  <si>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</si>
  <si>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</si>
  <si>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</si>
  <si>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</si>
  <si>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</si>
  <si>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</si>
  <si>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</si>
  <si>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</si>
  <si>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</si>
  <si>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</si>
  <si>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</si>
  <si>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</si>
  <si>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</si>
  <si>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</si>
  <si>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</si>
  <si>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</si>
  <si>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</si>
  <si>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</si>
  <si>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</si>
  <si>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</si>
  <si>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</si>
  <si>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</si>
  <si>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</si>
  <si>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</si>
  <si>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</si>
  <si>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</si>
  <si>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</si>
  <si>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</si>
  <si>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</si>
  <si>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</si>
  <si>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</si>
  <si>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</si>
  <si>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</si>
  <si>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</si>
  <si>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</si>
  <si>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</si>
  <si>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</si>
  <si>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</si>
  <si>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</si>
  <si>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</si>
  <si>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</si>
  <si>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</si>
  <si>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</si>
  <si>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</si>
  <si>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</si>
  <si>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      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</si>
  <si>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</si>
  <si>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</si>
  <si>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</si>
  <si>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</si>
  <si>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</si>
  <si>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</si>
  <si>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</si>
  <si>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</si>
  <si>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</si>
  <si>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</si>
  <si>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</si>
  <si>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</si>
  <si>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>Net increase (decrease) in cash</t>
  </si>
  <si>
    <t>Metric</t>
  </si>
  <si>
    <t>Input</t>
  </si>
  <si>
    <t>Named Range Formula</t>
  </si>
  <si>
    <t>Named Range</t>
  </si>
  <si>
    <t>Share price</t>
  </si>
  <si>
    <t>share_price</t>
  </si>
  <si>
    <t>Shares outstanding (millions)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</si>
  <si>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</si>
  <si>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</si>
  <si>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</si>
  <si>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</si>
  <si>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</si>
  <si>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</si>
  <si>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* shares_outstanding</t>
  </si>
  <si>
    <t>market_capitalization</t>
  </si>
  <si>
    <t>Start of Year (Prior Year Balance Sheet)</t>
  </si>
  <si>
    <t>Equity (start of year)</t>
  </si>
  <si>
    <t>BAL_equity_shareholders_[prior_year]</t>
  </si>
  <si>
    <t>startYear_equity</t>
  </si>
  <si>
    <t>Inventories (start of year)</t>
  </si>
  <si>
    <t>BAL_inventories_[prior_year]</t>
  </si>
  <si>
    <t>startYear_inventory</t>
  </si>
  <si>
    <t>Receivables (start of year)</t>
  </si>
  <si>
    <t>BAL_receivables_[prior_year]</t>
  </si>
  <si>
    <t>startYear_receivables</t>
  </si>
  <si>
    <t>Total assets (start of year)</t>
  </si>
  <si>
    <t>BAL_assets_total_[prior_year]</t>
  </si>
  <si>
    <t>startYear_total_assets</t>
  </si>
  <si>
    <t>Total capitalization (start of year)</t>
  </si>
  <si>
    <t>BAL_debt_long_term_[prior] + BAL_equity_[prior]</t>
  </si>
  <si>
    <t>startYear_total_capitalization</t>
  </si>
  <si>
    <t>Current Year (Derived)</t>
  </si>
  <si>
    <t>After-tax operating income</t>
  </si>
  <si>
    <t>INC_net + (1 - tax_rate) *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</si>
  <si>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</si>
  <si>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</si>
  <si>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</si>
  <si>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</si>
  <si>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</si>
  <si>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BAL_equity_shareholders_[current_year]</t>
  </si>
  <si>
    <t>currentYear_equity</t>
  </si>
  <si>
    <t>Cash + Marketable securities</t>
  </si>
  <si>
    <t>BAL_cash_marketable_securities_[current_year]</t>
  </si>
  <si>
    <t>currentYear_cash_marketable_securities</t>
  </si>
  <si>
    <t>Current assets</t>
  </si>
  <si>
    <t>BAL_assets_current_[current_year]</t>
  </si>
  <si>
    <t>currentYear_assets_current</t>
  </si>
  <si>
    <t>Current liabilities</t>
  </si>
  <si>
    <t>BAL_liabilities_current_[current_year]</t>
  </si>
  <si>
    <t>currentYear_liabilities_current</t>
  </si>
  <si>
    <t>Daily COGS</t>
  </si>
  <si>
    <t>INC_cost_goods_sold / 365</t>
  </si>
  <si>
    <t>currentYear_cost_goods_sold_daily</t>
  </si>
  <si>
    <t>BAL_debt_long_term_[current_year]</t>
  </si>
  <si>
    <t>currentYear_debt_long_term</t>
  </si>
  <si>
    <t>Net working capital</t>
  </si>
  <si>
    <t>currentYear_assets_current - currentYear_liabilities_current</t>
  </si>
  <si>
    <t>currentYear_working_capital_net</t>
  </si>
  <si>
    <t>Total assets</t>
  </si>
  <si>
    <t>BAL_assets_total_[current_year]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</si>
  <si>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</si>
  <si>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</si>
  <si>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</si>
  <si>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</si>
  <si>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</si>
  <si>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BAL_liabilities_total_[current_year]</t>
  </si>
  <si>
    <t>currentYear_liabilities_total</t>
  </si>
  <si>
    <t>Mixed Year (Averages)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</si>
  <si>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</si>
  <si>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</si>
  <si>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</si>
  <si>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</si>
  <si>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</si>
  <si>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</si>
  <si>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</si>
  <si>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</si>
  <si>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</si>
  <si>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</si>
  <si>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debt_long_term_equity</t>
  </si>
  <si>
    <t>Ratio</t>
  </si>
  <si>
    <t>Output</t>
  </si>
  <si>
    <t>Performance</t>
  </si>
  <si>
    <t>Market value added (MVA)</t>
  </si>
  <si>
    <t>market_capitalization - currentYear_equity</t>
  </si>
  <si>
    <t>Market-to-book ratio</t>
  </si>
  <si>
    <t>market_capitalization / currentYear_equity</t>
  </si>
  <si>
    <t>Economic value added (EVA)</t>
  </si>
  <si>
    <t>currentYear_after_tax_operating_income - (cost_capital *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</si>
  <si>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</si>
  <si>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</si>
  <si>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</si>
  <si>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</si>
  <si>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</si>
  <si>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</si>
  <si>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</si>
  <si>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</si>
  <si>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</si>
  <si>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</si>
  <si>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</si>
  <si>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</si>
  <si>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</si>
  <si>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</si>
  <si>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</si>
  <si>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</si>
  <si>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</si>
  <si>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</si>
  <si>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</si>
  <si>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</si>
  <si>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</si>
  <si>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</si>
  <si>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</si>
  <si>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</si>
  <si>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</si>
  <si>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</si>
  <si>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</si>
  <si>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</si>
  <si>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</si>
  <si>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</si>
  <si>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</si>
  <si>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</si>
  <si>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</si>
  <si>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</si>
  <si>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</si>
  <si>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</si>
  <si>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</si>
  <si>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</si>
  <si>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</si>
  <si>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</si>
  <si>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</si>
  <si>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</si>
  <si>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</si>
  <si>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</si>
  <si>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</si>
  <si>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</si>
  <si>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</si>
  <si>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</si>
  <si>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</si>
  <si>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</si>
  <si>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</si>
  <si>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</si>
  <si>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</si>
  <si>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 + BAL_receivables)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</si>
  <si>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</si>
  <si>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</si>
  <si>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</si>
  <si>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</si>
  <si>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* RATIO_operating_profit_margin</t>
  </si>
  <si>
    <t>Return on equity (Du Pont)</t>
  </si>
  <si>
    <t>RATIO_leverage * RATIO_asset_turnover * RATIO_operating_profit_margin * RATIO_debt_burden</t>
  </si>
  <si>
    <t>Notes &amp; Assumptions</t>
  </si>
  <si>
    <t>Company: [Your Company Name]</t>
  </si>
  <si>
    <t>Fiscal Year: [YYYY]</t>
  </si>
  <si>
    <t>Data Source: [SEC EDGAR 10-K / Yahoo Finance / etc.]</t>
  </si>
  <si>
    <t>Units: All figures in millions unless otherwise noted.</t>
  </si>
  <si>
    <t>Tax Rate: [Statutory 21% / Effective rate from financials]</t>
  </si>
  <si>
    <t>Cost of Capital: [X.X% - source/method]</t>
  </si>
  <si>
    <t>Color Coding:</t>
  </si>
  <si>
    <t>Yellow = Editable input cells</t>
  </si>
  <si>
    <t>Blue = Assumptions</t>
  </si>
  <si>
    <t>Green = Formula cells</t>
  </si>
  <si>
    <t>Gray = Output / summary cells</t>
  </si>
  <si>
    <t>AI &amp; LLM Usage:</t>
  </si>
  <si>
    <t>[Document any AI tools used and how they were used]</t>
  </si>
  <si>
    <t>3,593,565</t>
  </si>
  <si>
    <t>6.5 days</t>
  </si>
  <si>
    <t>113.9 days</t>
  </si>
  <si>
    <t>26.9x</t>
  </si>
  <si>
    <t>38.6x</t>
  </si>
  <si>
    <t>B2Gold Corp</t>
  </si>
  <si>
    <t>Yahoo Finance</t>
  </si>
  <si>
    <t>Yahioo Finance</t>
  </si>
  <si>
    <t>Chat GPT</t>
  </si>
  <si>
    <t>Used it for the Ratio portion, ran out of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</si>
</sst>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4"/>
      <color rgb="FF232A31"/>
      <name val="Arial"/>
      <family val="2"/>
    </font>
    <font>
      <sz val="14"/>
      <color theme="1"/>
      <name val="Calibri"/>
      <family val="2"/>
      <scheme val="minor"/>
    </font>
    <font>
      <sz val="11"/>
      <color rgb="FF232A3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/>
    <xf numFmtId="3" fontId="5" fillId="0" borderId="0" xfId="0" applyNumberFormat="1" applyFont="1"/>
    <xf numFmtId="3" fontId="0" fillId="4" borderId="0" xfId="0" applyNumberFormat="1" applyFill="1"/>
    <xf numFmtId="0" fontId="5" fillId="0" borderId="0" xfId="0" applyFont="1"/>
    <xf numFmtId="3" fontId="6" fillId="4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6" fillId="3" borderId="0" xfId="0" applyFont="1" applyFill="1"/>
    <xf numFmtId="3" fontId="6" fillId="3" borderId="0" xfId="0" applyNumberFormat="1" applyFont="1" applyFill="1"/>
    <xf numFmtId="3" fontId="6" fillId="0" borderId="0" xfId="0" applyNumberFormat="1" applyFont="1" applyFill="1"/>
    <xf numFmtId="9" fontId="0" fillId="0" borderId="0" xfId="1" applyFont="1"/>
    <xf numFmtId="0" fontId="0" fillId="0" borderId="0" xfId="0" applyFont="1"/>
    <xf numFmtId="3" fontId="7" fillId="0" borderId="0" xfId="0" applyNumberFormat="1" applyFont="1"/>
    <xf numFmtId="3" fontId="0" fillId="4" borderId="0" xfId="0" applyNumberFormat="1" applyFont="1" applyFill="1"/>
    <xf numFmtId="3" fontId="0" fillId="3" borderId="0" xfId="0" applyNumberFormat="1" applyFont="1" applyFill="1"/>
    <xf numFmtId="3" fontId="0" fillId="0" borderId="0" xfId="0" applyNumberFormat="1" applyFont="1"/>
    <xf numFmtId="0" fontId="0" fillId="3" borderId="0" xfId="0" applyFont="1" applyFill="1"/>
    <xf numFmtId="4" fontId="0" fillId="0" borderId="0" xfId="0" applyNumberFormat="1"/>
    <xf numFmtId="3" fontId="0" fillId="6" borderId="0" xfId="0" applyNumberFormat="1" applyFill="1"/>
    <xf numFmtId="10" fontId="0" fillId="6" borderId="0" xfId="0" applyNumberFormat="1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tabSelected="1" topLeftCell="B1" workbookViewId="0">
      <selection activeCell="C34" sqref="C34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4" width="18" customWidth="1"/>
    <col min="5" max="5" width="5" customWidth="1"/>
    <col min="6" max="6" width="42" customWidth="1"/>
    <col min="7" max="8" width="18" customWidth="1"/>
  </cols>
  <sheetData>
    <row r="1" spans="2:8" ht="16" x14ac:dyDescent="0.2">
      <c r="B1" s="1" t="s">
        <v>0</v>
      </c>
      <c r="F1" s="1" t="s">
        <v>1</v>
      </c>
    </row>
    <row r="2" spans="2:8" x14ac:dyDescent="0.2">
      <c r="C2" s="2" t="s">
        <v>2</v>
      </c>
      <c r="D2" s="2" t="s">
        <v>3</v>
      </c>
      <c r="G2" s="2" t="s">
        <v>2</v>
      </c>
      <c r="H2" s="2" t="s">
        <v>3</v>
      </c>
    </row>
    <row r="3" spans="2:8" ht="18" x14ac:dyDescent="0.2">
      <c r="B3" t="s">
        <v>4</v>
      </c>
      <c r="C3" s="9">
        <v>1129674</v>
      </c>
      <c r="D3" s="9">
        <v>901789</v>
      </c>
      <c r="F3" t="s">
        <v>5</v>
      </c>
      <c r="G3" s="9">
        <v>1061256</v>
      </c>
      <c r="H3" s="9">
        <v>580687</v>
      </c>
    </row>
    <row r="4" spans="2:8" ht="18" x14ac:dyDescent="0.2">
      <c r="B4" t="s">
        <v>6</v>
      </c>
      <c r="C4" s="9">
        <v>385292</v>
      </c>
      <c r="D4" s="9">
        <v>348536</v>
      </c>
      <c r="F4" t="s">
        <v>7</v>
      </c>
      <c r="G4" s="9">
        <v>33870</v>
      </c>
      <c r="H4" s="9">
        <v>16419</v>
      </c>
    </row>
    <row r="5" spans="2:8" ht="18" x14ac:dyDescent="0.2">
      <c r="B5" t="s">
        <v>8</v>
      </c>
      <c r="C5" s="9">
        <v>80327</v>
      </c>
      <c r="D5" s="9">
        <v>54536</v>
      </c>
      <c r="F5" t="s">
        <v>9</v>
      </c>
      <c r="G5" s="9">
        <v>174802</v>
      </c>
      <c r="H5" s="9">
        <v>156352</v>
      </c>
    </row>
    <row r="6" spans="2:8" ht="18" x14ac:dyDescent="0.2">
      <c r="B6" t="s">
        <v>10</v>
      </c>
      <c r="C6" s="9">
        <v>627225</v>
      </c>
      <c r="D6" s="9">
        <v>477586</v>
      </c>
      <c r="F6" t="s">
        <v>11</v>
      </c>
      <c r="G6" s="9">
        <f>SUM(G3-G4-G5)</f>
        <v>852584</v>
      </c>
      <c r="H6" s="9">
        <f>SUM(H3-H4-H5)</f>
        <v>407916</v>
      </c>
    </row>
    <row r="7" spans="2:8" ht="19" x14ac:dyDescent="0.25">
      <c r="B7" t="s">
        <v>12</v>
      </c>
      <c r="C7" s="9">
        <v>36830</v>
      </c>
      <c r="D7" s="17">
        <f>D3-D4-D5-D6</f>
        <v>21131</v>
      </c>
      <c r="F7" s="4" t="s">
        <v>13</v>
      </c>
      <c r="G7" s="12">
        <f>SUM(G4:G6)</f>
        <v>1061256</v>
      </c>
      <c r="H7" s="12">
        <f>SUM(H4:H6)</f>
        <v>580687</v>
      </c>
    </row>
    <row r="8" spans="2:8" ht="19" x14ac:dyDescent="0.25">
      <c r="B8" s="4" t="s">
        <v>14</v>
      </c>
      <c r="C8" s="12">
        <f>SUM(C4:C7)</f>
        <v>1129674</v>
      </c>
      <c r="D8" s="8">
        <f>SUM(D4:D7)</f>
        <v>901789</v>
      </c>
      <c r="G8" s="13"/>
      <c r="H8" s="13"/>
    </row>
    <row r="9" spans="2:8" ht="19" x14ac:dyDescent="0.25">
      <c r="C9" s="13"/>
      <c r="D9" s="13"/>
      <c r="F9" t="s">
        <v>15</v>
      </c>
      <c r="G9" s="9">
        <v>564440</v>
      </c>
      <c r="H9" s="9">
        <v>421464</v>
      </c>
    </row>
    <row r="10" spans="2:8" ht="18" x14ac:dyDescent="0.2">
      <c r="B10" t="s">
        <v>16</v>
      </c>
      <c r="C10" s="9">
        <v>4749642</v>
      </c>
      <c r="D10" s="9">
        <v>3912209</v>
      </c>
      <c r="F10" t="s">
        <v>17</v>
      </c>
      <c r="G10" s="9">
        <v>151293</v>
      </c>
      <c r="H10" s="9">
        <v>140541</v>
      </c>
    </row>
    <row r="11" spans="2:8" ht="19" x14ac:dyDescent="0.25">
      <c r="B11" t="s">
        <v>18</v>
      </c>
      <c r="C11" s="9">
        <v>7899295</v>
      </c>
      <c r="D11" s="9">
        <v>7366529</v>
      </c>
      <c r="G11" s="13"/>
      <c r="H11" s="13"/>
    </row>
    <row r="12" spans="2:8" ht="19" x14ac:dyDescent="0.25">
      <c r="B12" t="s">
        <v>19</v>
      </c>
      <c r="C12" s="9">
        <v>-4138958</v>
      </c>
      <c r="D12" s="9">
        <v>-4075094</v>
      </c>
      <c r="F12" s="4" t="s">
        <v>20</v>
      </c>
      <c r="G12" s="12" cm="1">
        <f t="array" ref="G12">SUM(G7+G9:G10)</f>
        <v>2838245</v>
      </c>
      <c r="H12" s="12" cm="1">
        <f t="array" ref="H12">SUM(H7+H9:H10)</f>
        <v>1723379</v>
      </c>
    </row>
    <row r="13" spans="2:8" ht="19" x14ac:dyDescent="0.25">
      <c r="B13" t="s">
        <v>21</v>
      </c>
      <c r="C13" s="14">
        <f>SUM(C11:C12)</f>
        <v>3760337</v>
      </c>
      <c r="D13" s="9">
        <f>SUM(D11:D12)</f>
        <v>3291435</v>
      </c>
      <c r="G13" s="13"/>
      <c r="H13" s="13"/>
    </row>
    <row r="14" spans="2:8" ht="19" x14ac:dyDescent="0.25">
      <c r="C14" s="13"/>
      <c r="D14" s="13"/>
      <c r="F14" t="s">
        <v>22</v>
      </c>
      <c r="G14" s="11" t="s">
        <v>238</v>
      </c>
      <c r="H14" s="14">
        <v>2983065</v>
      </c>
    </row>
    <row r="15" spans="2:8" ht="19" x14ac:dyDescent="0.25">
      <c r="B15" t="s">
        <v>23</v>
      </c>
      <c r="C15" s="9">
        <f>C10-C13</f>
        <v>989305</v>
      </c>
      <c r="D15" s="9">
        <f>D10-D13</f>
        <v>620774</v>
      </c>
      <c r="F15" t="s">
        <v>24</v>
      </c>
      <c r="G15" s="15">
        <f>3607005+151218</f>
        <v>3758223</v>
      </c>
      <c r="H15" s="15">
        <f>91184+3510271</f>
        <v>3601455</v>
      </c>
    </row>
    <row r="16" spans="2:8" ht="19" x14ac:dyDescent="0.25">
      <c r="B16" t="s">
        <v>25</v>
      </c>
      <c r="C16" s="15">
        <v>0</v>
      </c>
      <c r="D16" s="15">
        <v>0</v>
      </c>
      <c r="F16" t="s">
        <v>26</v>
      </c>
      <c r="G16" s="16">
        <v>-220613</v>
      </c>
      <c r="H16" s="9">
        <v>-515619</v>
      </c>
    </row>
    <row r="17" spans="2:8" ht="19" x14ac:dyDescent="0.25">
      <c r="B17" t="s">
        <v>27</v>
      </c>
      <c r="C17" s="9"/>
      <c r="D17" s="9"/>
      <c r="F17" s="4" t="s">
        <v>28</v>
      </c>
      <c r="G17" s="12">
        <f>G15+G16+55955</f>
        <v>3593565</v>
      </c>
      <c r="H17" s="12">
        <f>H15+H16+-102771</f>
        <v>2983065</v>
      </c>
    </row>
    <row r="18" spans="2:8" ht="19" x14ac:dyDescent="0.25">
      <c r="C18" s="13"/>
      <c r="D18" s="13"/>
      <c r="G18" s="13"/>
      <c r="H18" s="13"/>
    </row>
    <row r="19" spans="2:8" ht="19" x14ac:dyDescent="0.25">
      <c r="B19" s="4" t="s">
        <v>29</v>
      </c>
      <c r="C19" s="12">
        <f>C3+C10</f>
        <v>5879316</v>
      </c>
      <c r="D19" s="12">
        <f>D3+D10</f>
        <v>4813998</v>
      </c>
      <c r="F19" s="4" t="s">
        <v>30</v>
      </c>
      <c r="G19" s="12">
        <f>G17+G7</f>
        <v>4654821</v>
      </c>
      <c r="H19" s="12">
        <f>H17+H12</f>
        <v>4706444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="150" workbookViewId="0">
      <selection sqref="A1:C17"/>
    </sheetView>
  </sheetViews>
  <sheetFormatPr baseColWidth="10" defaultColWidth="8.83203125" defaultRowHeight="15" x14ac:dyDescent="0.2"/>
  <cols>
    <col min="1" max="1" width="50" customWidth="1"/>
    <col min="2" max="2" width="18" customWidth="1"/>
    <col min="3" max="3" width="15" customWidth="1"/>
  </cols>
  <sheetData>
    <row r="1" spans="1:3" x14ac:dyDescent="0.2">
      <c r="A1" s="4" t="s">
        <v>31</v>
      </c>
      <c r="B1" s="2" t="s">
        <v>32</v>
      </c>
      <c r="C1" s="2" t="s">
        <v>33</v>
      </c>
    </row>
    <row r="2" spans="1:3" x14ac:dyDescent="0.2">
      <c r="A2" s="19" t="s">
        <v>34</v>
      </c>
      <c r="B2" s="20">
        <v>3061238</v>
      </c>
      <c r="C2" s="18">
        <f>B2/B2</f>
        <v>1</v>
      </c>
    </row>
    <row r="3" spans="1:3" x14ac:dyDescent="0.2">
      <c r="A3" s="19" t="s">
        <v>35</v>
      </c>
      <c r="B3" s="20">
        <v>1530455</v>
      </c>
      <c r="C3" s="18">
        <f>B3/B2</f>
        <v>0.49994642690310259</v>
      </c>
    </row>
    <row r="4" spans="1:3" x14ac:dyDescent="0.2">
      <c r="A4" s="19" t="s">
        <v>36</v>
      </c>
      <c r="B4" s="20">
        <v>126199</v>
      </c>
      <c r="C4" s="18">
        <f>B4/B2</f>
        <v>4.1224824727773536E-2</v>
      </c>
    </row>
    <row r="5" spans="1:3" x14ac:dyDescent="0.2">
      <c r="A5" s="19" t="s">
        <v>37</v>
      </c>
      <c r="B5" s="20">
        <v>440831</v>
      </c>
      <c r="C5" s="18">
        <f>B5/B2</f>
        <v>0.1440041577949836</v>
      </c>
    </row>
    <row r="6" spans="1:3" x14ac:dyDescent="0.2">
      <c r="A6" s="4" t="s">
        <v>38</v>
      </c>
      <c r="B6" s="21">
        <f>B2-B3-B4-B5</f>
        <v>963753</v>
      </c>
      <c r="C6" s="18">
        <f>B6/B2</f>
        <v>0.31482459057414025</v>
      </c>
    </row>
    <row r="7" spans="1:3" x14ac:dyDescent="0.2">
      <c r="A7" s="19"/>
      <c r="B7" s="19"/>
      <c r="C7" s="19"/>
    </row>
    <row r="8" spans="1:3" x14ac:dyDescent="0.2">
      <c r="A8" s="19" t="s">
        <v>39</v>
      </c>
      <c r="B8" s="20">
        <v>12448</v>
      </c>
      <c r="C8" s="18">
        <f>B8/B2</f>
        <v>4.0663287206025795E-3</v>
      </c>
    </row>
    <row r="9" spans="1:3" x14ac:dyDescent="0.2">
      <c r="A9" s="19" t="s">
        <v>40</v>
      </c>
      <c r="B9" s="20">
        <v>37702</v>
      </c>
      <c r="C9" s="18">
        <f>B9/B2</f>
        <v>1.2315932312352061E-2</v>
      </c>
    </row>
    <row r="10" spans="1:3" x14ac:dyDescent="0.2">
      <c r="A10" s="4" t="s">
        <v>41</v>
      </c>
      <c r="B10" s="21">
        <f>B8-B9</f>
        <v>-25254</v>
      </c>
      <c r="C10" s="18">
        <f>B10/B2</f>
        <v>-8.2496035917494822E-3</v>
      </c>
    </row>
    <row r="11" spans="1:3" x14ac:dyDescent="0.2">
      <c r="A11" s="19"/>
      <c r="B11" s="19"/>
      <c r="C11" s="18"/>
    </row>
    <row r="12" spans="1:3" x14ac:dyDescent="0.2">
      <c r="A12" s="19" t="s">
        <v>42</v>
      </c>
      <c r="B12" s="22">
        <v>550100</v>
      </c>
      <c r="C12" s="18">
        <f>B12/B2</f>
        <v>0.17969854026377563</v>
      </c>
    </row>
    <row r="13" spans="1:3" x14ac:dyDescent="0.2">
      <c r="A13" s="4" t="s">
        <v>43</v>
      </c>
      <c r="B13" s="21">
        <f>B6-B10-B12</f>
        <v>438907</v>
      </c>
      <c r="C13" s="18">
        <f>B13/B2</f>
        <v>0.14337565390211413</v>
      </c>
    </row>
    <row r="14" spans="1:3" x14ac:dyDescent="0.2">
      <c r="A14" s="19"/>
      <c r="B14" s="19"/>
      <c r="C14" s="18"/>
    </row>
    <row r="15" spans="1:3" x14ac:dyDescent="0.2">
      <c r="A15" s="19" t="s">
        <v>44</v>
      </c>
      <c r="B15" s="18">
        <f>B16/B13</f>
        <v>0.24435645820185145</v>
      </c>
      <c r="C15" s="18">
        <f>B16/B2</f>
        <v>3.5034766979895063E-2</v>
      </c>
    </row>
    <row r="16" spans="1:3" x14ac:dyDescent="0.2">
      <c r="A16" s="19" t="s">
        <v>45</v>
      </c>
      <c r="B16" s="24">
        <f>0.08*1340622</f>
        <v>107249.76000000001</v>
      </c>
      <c r="C16" s="18">
        <f>B16/B2</f>
        <v>3.5034766979895063E-2</v>
      </c>
    </row>
    <row r="17" spans="1:3" x14ac:dyDescent="0.2">
      <c r="A17" s="4" t="s">
        <v>46</v>
      </c>
      <c r="B17" s="21">
        <f>B13-B16</f>
        <v>331657.24</v>
      </c>
      <c r="C17" s="18">
        <f>B17/B2</f>
        <v>0.10834088692221905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zoomScale="133" workbookViewId="0">
      <selection sqref="A1:C28"/>
    </sheetView>
  </sheetViews>
  <sheetFormatPr baseColWidth="10" defaultColWidth="8.83203125" defaultRowHeight="15" x14ac:dyDescent="0.2"/>
  <cols>
    <col min="1" max="1" width="55" customWidth="1"/>
    <col min="2" max="2" width="18" customWidth="1"/>
    <col min="3" max="3" width="20" customWidth="1"/>
  </cols>
  <sheetData>
    <row r="1" spans="1:3" x14ac:dyDescent="0.2">
      <c r="A1" s="4" t="s">
        <v>47</v>
      </c>
      <c r="B1" s="2" t="s">
        <v>32</v>
      </c>
      <c r="C1" s="2" t="s">
        <v>48</v>
      </c>
    </row>
    <row r="2" spans="1:3" x14ac:dyDescent="0.2">
      <c r="A2" s="19" t="s">
        <v>49</v>
      </c>
      <c r="B2" s="20">
        <v>895836</v>
      </c>
      <c r="C2" s="19"/>
    </row>
    <row r="3" spans="1:3" x14ac:dyDescent="0.2">
      <c r="A3" s="19" t="s">
        <v>50</v>
      </c>
      <c r="B3" s="21">
        <v>438907</v>
      </c>
      <c r="C3" s="19" t="s">
        <v>51</v>
      </c>
    </row>
    <row r="4" spans="1:3" x14ac:dyDescent="0.2">
      <c r="A4" s="19" t="s">
        <v>52</v>
      </c>
      <c r="B4" s="22">
        <v>440831</v>
      </c>
      <c r="C4" s="19" t="s">
        <v>51</v>
      </c>
    </row>
    <row r="5" spans="1:3" x14ac:dyDescent="0.2">
      <c r="A5" s="19" t="s">
        <v>53</v>
      </c>
      <c r="B5" s="23">
        <v>271989</v>
      </c>
      <c r="C5" s="19"/>
    </row>
    <row r="6" spans="1:3" x14ac:dyDescent="0.2">
      <c r="A6" s="19" t="s">
        <v>54</v>
      </c>
      <c r="B6" s="20">
        <v>-25791</v>
      </c>
      <c r="C6" s="19" t="s">
        <v>55</v>
      </c>
    </row>
    <row r="7" spans="1:3" x14ac:dyDescent="0.2">
      <c r="A7" s="19" t="s">
        <v>56</v>
      </c>
      <c r="B7" s="22">
        <v>-149639</v>
      </c>
      <c r="C7" s="19" t="s">
        <v>55</v>
      </c>
    </row>
    <row r="8" spans="1:3" x14ac:dyDescent="0.2">
      <c r="A8" s="19" t="s">
        <v>57</v>
      </c>
      <c r="B8" s="22">
        <v>-15699</v>
      </c>
      <c r="C8" s="19" t="s">
        <v>55</v>
      </c>
    </row>
    <row r="9" spans="1:3" x14ac:dyDescent="0.2">
      <c r="A9" s="19" t="s">
        <v>58</v>
      </c>
      <c r="B9" s="22">
        <v>18450</v>
      </c>
      <c r="C9" s="19" t="s">
        <v>55</v>
      </c>
    </row>
    <row r="10" spans="1:3" x14ac:dyDescent="0.2">
      <c r="A10" s="19" t="s">
        <v>59</v>
      </c>
      <c r="B10" s="22">
        <v>444668</v>
      </c>
      <c r="C10" s="19" t="s">
        <v>55</v>
      </c>
    </row>
    <row r="11" spans="1:3" x14ac:dyDescent="0.2">
      <c r="A11" s="4" t="s">
        <v>60</v>
      </c>
      <c r="B11" s="21">
        <f>SUM(B6:B10)</f>
        <v>271989</v>
      </c>
      <c r="C11" s="19"/>
    </row>
    <row r="12" spans="1:3" x14ac:dyDescent="0.2">
      <c r="A12" s="4" t="s">
        <v>61</v>
      </c>
      <c r="B12" s="21">
        <f>B3+B4+B5</f>
        <v>1151727</v>
      </c>
      <c r="C12" s="19"/>
    </row>
    <row r="13" spans="1:3" x14ac:dyDescent="0.2">
      <c r="A13" s="19"/>
      <c r="B13" s="19"/>
      <c r="C13" s="19"/>
    </row>
    <row r="14" spans="1:3" x14ac:dyDescent="0.2">
      <c r="A14" s="19" t="s">
        <v>62</v>
      </c>
      <c r="B14" s="23">
        <v>-892740</v>
      </c>
      <c r="C14" s="19"/>
    </row>
    <row r="15" spans="1:3" x14ac:dyDescent="0.2">
      <c r="A15" s="19" t="s">
        <v>63</v>
      </c>
      <c r="B15" s="20">
        <v>-861083</v>
      </c>
      <c r="C15" s="19"/>
    </row>
    <row r="16" spans="1:3" x14ac:dyDescent="0.2">
      <c r="A16" s="19" t="s">
        <v>64</v>
      </c>
      <c r="B16" s="20">
        <v>-26857</v>
      </c>
      <c r="C16" s="19"/>
    </row>
    <row r="17" spans="1:3" x14ac:dyDescent="0.2">
      <c r="A17" s="19" t="s">
        <v>65</v>
      </c>
      <c r="B17" s="22">
        <v>-4800</v>
      </c>
      <c r="C17" s="19"/>
    </row>
    <row r="18" spans="1:3" x14ac:dyDescent="0.2">
      <c r="A18" s="4" t="s">
        <v>66</v>
      </c>
      <c r="B18" s="21">
        <f>SUM(B15:B17)</f>
        <v>-892740</v>
      </c>
      <c r="C18" s="19"/>
    </row>
    <row r="19" spans="1:3" x14ac:dyDescent="0.2">
      <c r="A19" s="19"/>
      <c r="B19" s="19"/>
      <c r="C19" s="19"/>
    </row>
    <row r="20" spans="1:3" x14ac:dyDescent="0.2">
      <c r="A20" s="19" t="s">
        <v>67</v>
      </c>
      <c r="B20" s="23">
        <v>58646</v>
      </c>
      <c r="C20" s="19"/>
    </row>
    <row r="21" spans="1:3" x14ac:dyDescent="0.2">
      <c r="A21" s="19" t="s">
        <v>68</v>
      </c>
      <c r="B21" s="23">
        <v>-2616</v>
      </c>
      <c r="C21" s="19"/>
    </row>
    <row r="22" spans="1:3" x14ac:dyDescent="0.2">
      <c r="A22" s="19" t="s">
        <v>69</v>
      </c>
      <c r="B22" s="23">
        <v>142976</v>
      </c>
      <c r="C22" s="19"/>
    </row>
    <row r="23" spans="1:3" x14ac:dyDescent="0.2">
      <c r="A23" s="19" t="s">
        <v>70</v>
      </c>
      <c r="B23" s="23">
        <v>-103444</v>
      </c>
      <c r="C23" s="19"/>
    </row>
    <row r="24" spans="1:3" x14ac:dyDescent="0.2">
      <c r="A24" s="19" t="s">
        <v>71</v>
      </c>
      <c r="B24" s="23">
        <v>4071</v>
      </c>
      <c r="C24" s="19"/>
    </row>
    <row r="25" spans="1:3" x14ac:dyDescent="0.2">
      <c r="A25" s="19" t="s">
        <v>72</v>
      </c>
      <c r="B25" s="23">
        <v>17659</v>
      </c>
      <c r="C25" s="19"/>
    </row>
    <row r="26" spans="1:3" x14ac:dyDescent="0.2">
      <c r="A26" s="4" t="s">
        <v>73</v>
      </c>
      <c r="B26" s="21">
        <f>SUM(B21:B25)</f>
        <v>58646</v>
      </c>
      <c r="C26" s="19"/>
    </row>
    <row r="27" spans="1:3" x14ac:dyDescent="0.2">
      <c r="A27" s="19"/>
      <c r="B27" s="19"/>
      <c r="C27" s="19"/>
    </row>
    <row r="28" spans="1:3" x14ac:dyDescent="0.2">
      <c r="A28" s="4" t="s">
        <v>74</v>
      </c>
      <c r="B28" s="21">
        <f>B2+B18+B26</f>
        <v>61742</v>
      </c>
      <c r="C28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"/>
  <sheetViews>
    <sheetView topLeftCell="A43" workbookViewId="0">
      <selection activeCell="B75" sqref="B75"/>
    </sheetView>
  </sheetViews>
  <sheetFormatPr baseColWidth="10" defaultColWidth="8.83203125" defaultRowHeight="15" x14ac:dyDescent="0.2"/>
  <cols>
    <col min="1" max="1" width="48" customWidth="1"/>
    <col min="2" max="2" width="18" customWidth="1"/>
    <col min="3" max="3" width="65" customWidth="1"/>
    <col min="4" max="4" width="40" customWidth="1"/>
  </cols>
  <sheetData>
    <row r="1" spans="1:4" x14ac:dyDescent="0.2">
      <c r="A1" s="2" t="s">
        <v>75</v>
      </c>
      <c r="B1" s="2" t="s">
        <v>76</v>
      </c>
      <c r="C1" s="2" t="s">
        <v>77</v>
      </c>
      <c r="D1" s="2" t="s">
        <v>78</v>
      </c>
    </row>
    <row r="2" spans="1:4" x14ac:dyDescent="0.2">
      <c r="A2" t="s">
        <v>79</v>
      </c>
      <c r="B2">
        <v>5</v>
      </c>
      <c r="D2" t="s">
        <v>80</v>
      </c>
    </row>
    <row r="3" spans="1:4" x14ac:dyDescent="0.2">
      <c r="A3" t="s">
        <v>81</v>
      </c>
      <c r="B3" s="25">
        <v>1340.6220000000001</v>
      </c>
      <c r="D3" t="s">
        <v>82</v>
      </c>
    </row>
    <row r="4" spans="1:4" x14ac:dyDescent="0.2">
      <c r="A4" t="s">
        <v>83</v>
      </c>
      <c r="B4">
        <v>0.1</v>
      </c>
      <c r="D4" t="s">
        <v>84</v>
      </c>
    </row>
    <row r="5" spans="1:4" x14ac:dyDescent="0.2">
      <c r="A5" t="s">
        <v>85</v>
      </c>
      <c r="B5">
        <v>0.56299999999999994</v>
      </c>
      <c r="D5" t="s">
        <v>86</v>
      </c>
    </row>
    <row r="6" spans="1:4" x14ac:dyDescent="0.2">
      <c r="A6" t="s">
        <v>87</v>
      </c>
      <c r="B6" s="8">
        <v>6703110</v>
      </c>
      <c r="C6" t="s">
        <v>88</v>
      </c>
      <c r="D6" t="s">
        <v>89</v>
      </c>
    </row>
    <row r="8" spans="1:4" x14ac:dyDescent="0.2">
      <c r="A8" s="4" t="s">
        <v>90</v>
      </c>
    </row>
    <row r="9" spans="1:4" x14ac:dyDescent="0.2">
      <c r="A9" t="s">
        <v>91</v>
      </c>
      <c r="B9" s="10">
        <v>2983065</v>
      </c>
      <c r="C9" t="s">
        <v>92</v>
      </c>
      <c r="D9" t="s">
        <v>93</v>
      </c>
    </row>
    <row r="10" spans="1:4" x14ac:dyDescent="0.2">
      <c r="A10" t="s">
        <v>94</v>
      </c>
      <c r="B10" s="8">
        <v>477586</v>
      </c>
      <c r="C10" t="s">
        <v>95</v>
      </c>
      <c r="D10" t="s">
        <v>96</v>
      </c>
    </row>
    <row r="11" spans="1:4" x14ac:dyDescent="0.2">
      <c r="A11" t="s">
        <v>97</v>
      </c>
      <c r="B11" s="8">
        <v>54536</v>
      </c>
      <c r="C11" t="s">
        <v>98</v>
      </c>
      <c r="D11" t="s">
        <v>99</v>
      </c>
    </row>
    <row r="12" spans="1:4" x14ac:dyDescent="0.2">
      <c r="A12" t="s">
        <v>100</v>
      </c>
      <c r="B12" s="8">
        <v>4813998</v>
      </c>
      <c r="C12" t="s">
        <v>101</v>
      </c>
      <c r="D12" t="s">
        <v>102</v>
      </c>
    </row>
    <row r="13" spans="1:4" x14ac:dyDescent="0.2">
      <c r="A13" t="s">
        <v>103</v>
      </c>
      <c r="B13" s="8">
        <v>3404529</v>
      </c>
      <c r="C13" t="s">
        <v>104</v>
      </c>
      <c r="D13" t="s">
        <v>105</v>
      </c>
    </row>
    <row r="15" spans="1:4" x14ac:dyDescent="0.2">
      <c r="A15" s="4" t="s">
        <v>106</v>
      </c>
    </row>
    <row r="16" spans="1:4" x14ac:dyDescent="0.2">
      <c r="A16" t="s">
        <v>107</v>
      </c>
      <c r="B16" s="8">
        <v>418970</v>
      </c>
      <c r="C16" t="s">
        <v>108</v>
      </c>
      <c r="D16" t="s">
        <v>109</v>
      </c>
    </row>
    <row r="17" spans="1:4" x14ac:dyDescent="0.2">
      <c r="A17" t="s">
        <v>110</v>
      </c>
      <c r="B17" s="10">
        <v>8389</v>
      </c>
      <c r="C17" t="s">
        <v>111</v>
      </c>
      <c r="D17" t="s">
        <v>112</v>
      </c>
    </row>
    <row r="18" spans="1:4" x14ac:dyDescent="0.2">
      <c r="A18" t="s">
        <v>113</v>
      </c>
      <c r="B18" s="10">
        <v>3593565</v>
      </c>
      <c r="C18" t="s">
        <v>114</v>
      </c>
      <c r="D18" t="s">
        <v>115</v>
      </c>
    </row>
    <row r="19" spans="1:4" x14ac:dyDescent="0.2">
      <c r="A19" t="s">
        <v>116</v>
      </c>
      <c r="B19" s="10">
        <v>385292</v>
      </c>
      <c r="C19" t="s">
        <v>117</v>
      </c>
      <c r="D19" t="s">
        <v>118</v>
      </c>
    </row>
    <row r="20" spans="1:4" x14ac:dyDescent="0.2">
      <c r="A20" t="s">
        <v>119</v>
      </c>
      <c r="B20" s="10">
        <v>1129674</v>
      </c>
      <c r="C20" t="s">
        <v>120</v>
      </c>
      <c r="D20" t="s">
        <v>121</v>
      </c>
    </row>
    <row r="21" spans="1:4" x14ac:dyDescent="0.2">
      <c r="A21" t="s">
        <v>122</v>
      </c>
      <c r="B21" s="10">
        <v>1061256</v>
      </c>
      <c r="C21" t="s">
        <v>123</v>
      </c>
      <c r="D21" t="s">
        <v>124</v>
      </c>
    </row>
    <row r="22" spans="1:4" x14ac:dyDescent="0.2">
      <c r="A22" t="s">
        <v>125</v>
      </c>
      <c r="B22" s="10">
        <v>4194</v>
      </c>
      <c r="C22" t="s">
        <v>126</v>
      </c>
      <c r="D22" t="s">
        <v>127</v>
      </c>
    </row>
    <row r="23" spans="1:4" x14ac:dyDescent="0.2">
      <c r="A23" t="s">
        <v>15</v>
      </c>
      <c r="B23" s="8">
        <v>564440</v>
      </c>
      <c r="C23" t="s">
        <v>128</v>
      </c>
      <c r="D23" t="s">
        <v>129</v>
      </c>
    </row>
    <row r="24" spans="1:4" x14ac:dyDescent="0.2">
      <c r="A24" t="s">
        <v>130</v>
      </c>
      <c r="B24" s="8">
        <v>68418</v>
      </c>
      <c r="C24" t="s">
        <v>131</v>
      </c>
      <c r="D24" t="s">
        <v>132</v>
      </c>
    </row>
    <row r="25" spans="1:4" x14ac:dyDescent="0.2">
      <c r="A25" t="s">
        <v>133</v>
      </c>
      <c r="B25" s="10">
        <v>5879316</v>
      </c>
      <c r="C25" t="s">
        <v>134</v>
      </c>
      <c r="D25" t="s">
        <v>135</v>
      </c>
    </row>
    <row r="26" spans="1:4" x14ac:dyDescent="0.2">
      <c r="A26" t="s">
        <v>136</v>
      </c>
      <c r="B26" s="8">
        <v>4158005</v>
      </c>
      <c r="C26" t="s">
        <v>137</v>
      </c>
      <c r="D26" t="s">
        <v>138</v>
      </c>
    </row>
    <row r="27" spans="1:4" x14ac:dyDescent="0.2">
      <c r="A27" t="s">
        <v>139</v>
      </c>
      <c r="B27" s="10">
        <v>2237800</v>
      </c>
      <c r="C27" t="s">
        <v>140</v>
      </c>
      <c r="D27" t="s">
        <v>141</v>
      </c>
    </row>
    <row r="29" spans="1:4" x14ac:dyDescent="0.2">
      <c r="A29" s="4" t="s">
        <v>142</v>
      </c>
    </row>
    <row r="30" spans="1:4" x14ac:dyDescent="0.2">
      <c r="A30" t="s">
        <v>143</v>
      </c>
      <c r="B30" s="10">
        <v>3288315</v>
      </c>
      <c r="C30" t="s">
        <v>144</v>
      </c>
      <c r="D30" t="s">
        <v>145</v>
      </c>
    </row>
    <row r="31" spans="1:4" x14ac:dyDescent="0.2">
      <c r="A31" t="s">
        <v>146</v>
      </c>
      <c r="B31" s="8">
        <v>5346657</v>
      </c>
      <c r="C31" t="s">
        <v>147</v>
      </c>
      <c r="D31" t="s">
        <v>148</v>
      </c>
    </row>
    <row r="32" spans="1:4" x14ac:dyDescent="0.2">
      <c r="A32" t="s">
        <v>149</v>
      </c>
      <c r="B32" s="8">
        <v>3781267</v>
      </c>
      <c r="C32" t="s">
        <v>150</v>
      </c>
      <c r="D32" t="s">
        <v>151</v>
      </c>
    </row>
    <row r="33" spans="1:4" x14ac:dyDescent="0.2">
      <c r="A33" t="s">
        <v>152</v>
      </c>
      <c r="B33" s="10">
        <v>4158005</v>
      </c>
      <c r="C33" t="s">
        <v>137</v>
      </c>
      <c r="D33" t="s">
        <v>153</v>
      </c>
    </row>
    <row r="35" spans="1:4" x14ac:dyDescent="0.2">
      <c r="A35" s="2" t="s">
        <v>154</v>
      </c>
      <c r="B35" s="2" t="s">
        <v>155</v>
      </c>
      <c r="C35" s="2" t="s">
        <v>77</v>
      </c>
      <c r="D35" s="2" t="s">
        <v>78</v>
      </c>
    </row>
    <row r="36" spans="1:4" ht="16" x14ac:dyDescent="0.2">
      <c r="A36" s="1" t="s">
        <v>156</v>
      </c>
    </row>
    <row r="37" spans="1:4" x14ac:dyDescent="0.2">
      <c r="A37" t="s">
        <v>157</v>
      </c>
      <c r="B37" s="26">
        <v>3109545</v>
      </c>
      <c r="C37" t="s">
        <v>158</v>
      </c>
    </row>
    <row r="38" spans="1:4" x14ac:dyDescent="0.2">
      <c r="A38" t="s">
        <v>159</v>
      </c>
      <c r="B38" s="7">
        <v>1.87</v>
      </c>
      <c r="C38" t="s">
        <v>160</v>
      </c>
    </row>
    <row r="39" spans="1:4" x14ac:dyDescent="0.2">
      <c r="A39" t="s">
        <v>161</v>
      </c>
      <c r="B39" s="26">
        <v>78517</v>
      </c>
      <c r="C39" t="s">
        <v>162</v>
      </c>
    </row>
    <row r="41" spans="1:4" ht="16" x14ac:dyDescent="0.2">
      <c r="A41" s="1" t="s">
        <v>163</v>
      </c>
    </row>
    <row r="42" spans="1:4" x14ac:dyDescent="0.2">
      <c r="A42" t="s">
        <v>164</v>
      </c>
      <c r="B42" s="27">
        <v>8.7099999999999997E-2</v>
      </c>
      <c r="C42" t="s">
        <v>165</v>
      </c>
    </row>
    <row r="43" spans="1:4" x14ac:dyDescent="0.2">
      <c r="A43" t="s">
        <v>166</v>
      </c>
      <c r="B43" s="28">
        <v>0.123</v>
      </c>
      <c r="C43" t="s">
        <v>167</v>
      </c>
    </row>
    <row r="44" spans="1:4" x14ac:dyDescent="0.2">
      <c r="A44" t="s">
        <v>168</v>
      </c>
      <c r="B44" s="27">
        <v>0.13469999999999999</v>
      </c>
      <c r="C44" t="s">
        <v>169</v>
      </c>
    </row>
    <row r="45" spans="1:4" x14ac:dyDescent="0.2">
      <c r="A45" t="s">
        <v>170</v>
      </c>
      <c r="B45" s="27">
        <v>7.8299999999999995E-2</v>
      </c>
      <c r="C45" t="s">
        <v>171</v>
      </c>
    </row>
    <row r="46" spans="1:4" x14ac:dyDescent="0.2">
      <c r="A46" t="s">
        <v>172</v>
      </c>
      <c r="B46" s="27">
        <v>0.1108</v>
      </c>
      <c r="C46" t="s">
        <v>173</v>
      </c>
    </row>
    <row r="47" spans="1:4" x14ac:dyDescent="0.2">
      <c r="A47" t="s">
        <v>174</v>
      </c>
      <c r="B47" s="28">
        <v>0.1222</v>
      </c>
      <c r="C47" t="s">
        <v>175</v>
      </c>
    </row>
    <row r="49" spans="1:4" ht="16" x14ac:dyDescent="0.2">
      <c r="A49" s="1" t="s">
        <v>176</v>
      </c>
    </row>
    <row r="50" spans="1:4" x14ac:dyDescent="0.2">
      <c r="A50" t="s">
        <v>177</v>
      </c>
      <c r="B50">
        <v>0.64</v>
      </c>
      <c r="C50" t="s">
        <v>178</v>
      </c>
      <c r="D50" t="s">
        <v>179</v>
      </c>
    </row>
    <row r="51" spans="1:4" x14ac:dyDescent="0.2">
      <c r="A51" t="s">
        <v>180</v>
      </c>
      <c r="B51" s="7">
        <v>56.12</v>
      </c>
      <c r="C51" t="s">
        <v>181</v>
      </c>
    </row>
    <row r="52" spans="1:4" x14ac:dyDescent="0.2">
      <c r="A52" t="s">
        <v>182</v>
      </c>
      <c r="B52" s="7" t="s">
        <v>239</v>
      </c>
      <c r="C52" t="s">
        <v>183</v>
      </c>
    </row>
    <row r="53" spans="1:4" x14ac:dyDescent="0.2">
      <c r="A53" t="s">
        <v>184</v>
      </c>
      <c r="B53" s="7">
        <v>3.21</v>
      </c>
      <c r="C53" t="s">
        <v>185</v>
      </c>
    </row>
    <row r="54" spans="1:4" x14ac:dyDescent="0.2">
      <c r="A54" t="s">
        <v>186</v>
      </c>
      <c r="B54" t="s">
        <v>240</v>
      </c>
      <c r="C54" t="s">
        <v>187</v>
      </c>
    </row>
    <row r="55" spans="1:4" x14ac:dyDescent="0.2">
      <c r="A55" t="s">
        <v>188</v>
      </c>
      <c r="B55" s="27">
        <v>0.1313</v>
      </c>
      <c r="C55" t="s">
        <v>189</v>
      </c>
    </row>
    <row r="56" spans="1:4" x14ac:dyDescent="0.2">
      <c r="A56" t="s">
        <v>190</v>
      </c>
      <c r="B56" s="27">
        <v>0.13689999999999999</v>
      </c>
      <c r="C56" t="s">
        <v>191</v>
      </c>
      <c r="D56" t="s">
        <v>192</v>
      </c>
    </row>
    <row r="58" spans="1:4" ht="16" x14ac:dyDescent="0.2">
      <c r="A58" s="1" t="s">
        <v>193</v>
      </c>
    </row>
    <row r="59" spans="1:4" x14ac:dyDescent="0.2">
      <c r="A59" t="s">
        <v>194</v>
      </c>
      <c r="B59" s="28">
        <v>0.13600000000000001</v>
      </c>
      <c r="C59" t="s">
        <v>195</v>
      </c>
    </row>
    <row r="60" spans="1:4" x14ac:dyDescent="0.2">
      <c r="A60" t="s">
        <v>196</v>
      </c>
      <c r="B60">
        <v>0.16</v>
      </c>
      <c r="C60" t="s">
        <v>197</v>
      </c>
    </row>
    <row r="61" spans="1:4" x14ac:dyDescent="0.2">
      <c r="A61" t="s">
        <v>198</v>
      </c>
      <c r="B61" s="27">
        <v>0.38100000000000001</v>
      </c>
      <c r="C61" t="s">
        <v>199</v>
      </c>
    </row>
    <row r="62" spans="1:4" x14ac:dyDescent="0.2">
      <c r="A62" t="s">
        <v>200</v>
      </c>
      <c r="B62" t="s">
        <v>241</v>
      </c>
      <c r="C62" t="s">
        <v>201</v>
      </c>
    </row>
    <row r="63" spans="1:4" x14ac:dyDescent="0.2">
      <c r="A63" t="s">
        <v>202</v>
      </c>
      <c r="B63" s="7" t="s">
        <v>242</v>
      </c>
      <c r="C63" t="s">
        <v>203</v>
      </c>
    </row>
    <row r="64" spans="1:4" x14ac:dyDescent="0.2">
      <c r="A64" t="s">
        <v>204</v>
      </c>
      <c r="B64" s="7">
        <v>0.96</v>
      </c>
      <c r="C64" t="s">
        <v>205</v>
      </c>
      <c r="D64" t="s">
        <v>206</v>
      </c>
    </row>
    <row r="65" spans="1:4" x14ac:dyDescent="0.2">
      <c r="A65" t="s">
        <v>207</v>
      </c>
      <c r="B65" s="7">
        <v>1.64</v>
      </c>
      <c r="C65" t="s">
        <v>208</v>
      </c>
      <c r="D65" t="s">
        <v>209</v>
      </c>
    </row>
    <row r="67" spans="1:4" ht="16" x14ac:dyDescent="0.2">
      <c r="A67" s="1" t="s">
        <v>210</v>
      </c>
    </row>
    <row r="68" spans="1:4" x14ac:dyDescent="0.2">
      <c r="A68" t="s">
        <v>211</v>
      </c>
      <c r="B68" s="27">
        <v>1.1599999999999999E-2</v>
      </c>
      <c r="C68" t="s">
        <v>212</v>
      </c>
    </row>
    <row r="69" spans="1:4" x14ac:dyDescent="0.2">
      <c r="A69" t="s">
        <v>213</v>
      </c>
      <c r="B69" s="7">
        <v>1.06</v>
      </c>
      <c r="C69" t="s">
        <v>214</v>
      </c>
    </row>
    <row r="70" spans="1:4" x14ac:dyDescent="0.2">
      <c r="A70" t="s">
        <v>215</v>
      </c>
      <c r="B70" s="7">
        <v>0.44</v>
      </c>
      <c r="C70" t="s">
        <v>216</v>
      </c>
    </row>
    <row r="71" spans="1:4" x14ac:dyDescent="0.2">
      <c r="A71" t="s">
        <v>217</v>
      </c>
      <c r="B71" s="7">
        <v>0.36</v>
      </c>
      <c r="C71" t="s">
        <v>218</v>
      </c>
    </row>
    <row r="73" spans="1:4" ht="16" x14ac:dyDescent="0.2">
      <c r="A73" s="1" t="s">
        <v>219</v>
      </c>
    </row>
    <row r="74" spans="1:4" x14ac:dyDescent="0.2">
      <c r="A74" t="s">
        <v>220</v>
      </c>
      <c r="B74" s="27">
        <v>8.7599999999999997E-2</v>
      </c>
      <c r="C74" t="s">
        <v>221</v>
      </c>
    </row>
    <row r="75" spans="1:4" x14ac:dyDescent="0.2">
      <c r="A75" t="s">
        <v>222</v>
      </c>
      <c r="B75" s="27">
        <v>0.13450000000000001</v>
      </c>
      <c r="C75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60" customWidth="1"/>
    <col min="2" max="2" width="15" customWidth="1"/>
  </cols>
  <sheetData>
    <row r="1" spans="1:2" ht="16" x14ac:dyDescent="0.2">
      <c r="A1" s="1" t="s">
        <v>224</v>
      </c>
    </row>
    <row r="3" spans="1:2" x14ac:dyDescent="0.2">
      <c r="A3" t="s">
        <v>225</v>
      </c>
      <c r="B3" t="s">
        <v>243</v>
      </c>
    </row>
    <row r="4" spans="1:2" x14ac:dyDescent="0.2">
      <c r="A4" t="s">
        <v>226</v>
      </c>
      <c r="B4">
        <v>2025</v>
      </c>
    </row>
    <row r="5" spans="1:2" x14ac:dyDescent="0.2">
      <c r="A5" t="s">
        <v>227</v>
      </c>
      <c r="B5" t="s">
        <v>244</v>
      </c>
    </row>
    <row r="6" spans="1:2" x14ac:dyDescent="0.2">
      <c r="A6" t="s">
        <v>228</v>
      </c>
    </row>
    <row r="7" spans="1:2" x14ac:dyDescent="0.2">
      <c r="A7" t="s">
        <v>229</v>
      </c>
    </row>
    <row r="8" spans="1:2" x14ac:dyDescent="0.2">
      <c r="A8" t="s">
        <v>230</v>
      </c>
      <c r="B8" t="s">
        <v>245</v>
      </c>
    </row>
    <row r="10" spans="1:2" x14ac:dyDescent="0.2">
      <c r="A10" t="s">
        <v>231</v>
      </c>
    </row>
    <row r="11" spans="1:2" x14ac:dyDescent="0.2">
      <c r="A11" t="s">
        <v>232</v>
      </c>
      <c r="B11" s="3"/>
    </row>
    <row r="12" spans="1:2" x14ac:dyDescent="0.2">
      <c r="A12" t="s">
        <v>233</v>
      </c>
      <c r="B12" s="6"/>
    </row>
    <row r="13" spans="1:2" x14ac:dyDescent="0.2">
      <c r="A13" t="s">
        <v>234</v>
      </c>
      <c r="B13" s="5"/>
    </row>
    <row r="14" spans="1:2" x14ac:dyDescent="0.2">
      <c r="A14" t="s">
        <v>235</v>
      </c>
      <c r="B14" s="7"/>
    </row>
    <row r="16" spans="1:2" x14ac:dyDescent="0.2">
      <c r="A16" t="s">
        <v>236</v>
      </c>
      <c r="B16" t="s">
        <v>246</v>
      </c>
    </row>
    <row r="17" spans="1:2" x14ac:dyDescent="0.2">
      <c r="A17" t="s">
        <v>237</v>
      </c>
      <c r="B17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 Statement</vt:lpstr>
      <vt:lpstr>Ratios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Throy Nicdao</cp:lastModifiedBy>
  <dcterms:created xsi:type="dcterms:W3CDTF">2026-04-18T06:59:55Z</dcterms:created>
  <dcterms:modified xsi:type="dcterms:W3CDTF">2026-04-18T09:46:21Z</dcterms:modified>
</cp:coreProperties>
</file>